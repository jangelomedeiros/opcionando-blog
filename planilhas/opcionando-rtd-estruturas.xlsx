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ções" sheetId="1" state="visible" r:id="rId1"/>
    <sheet xmlns:r="http://schemas.openxmlformats.org/officeDocument/2006/relationships" name="Leia-me" sheetId="2" state="visible" r:id="rId2"/>
    <sheet xmlns:r="http://schemas.openxmlformats.org/officeDocument/2006/relationships" name="Estrutu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;-0.00;-"/>
    <numFmt numFmtId="165" formatCode="#,##0.00;-#,##0.00;-"/>
  </numFmts>
  <fonts count="14">
    <font>
      <name val="Calibri"/>
      <family val="2"/>
      <color theme="1"/>
      <sz val="11"/>
      <scheme val="minor"/>
    </font>
    <font>
      <name val="Arial"/>
      <b val="1"/>
      <color rgb="000E4A55"/>
      <sz val="14"/>
    </font>
    <font>
      <name val="Arial"/>
      <sz val="10"/>
    </font>
    <font>
      <name val="Arial"/>
      <b val="1"/>
      <sz val="11"/>
    </font>
    <font>
      <name val="Arial"/>
      <i val="1"/>
      <color rgb="00666666"/>
      <sz val="10"/>
    </font>
    <font>
      <name val="Arial"/>
      <b val="1"/>
      <color rgb="000E4A55"/>
      <sz val="13"/>
    </font>
    <font>
      <name val="Arial"/>
      <i val="1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0E4A55"/>
      <sz val="11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E4A55"/>
      </patternFill>
    </fill>
    <fill>
      <patternFill patternType="solid">
        <fgColor rgb="00EEF2F3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9" fillId="0" borderId="1" pivotButton="0" quotePrefix="0" xfId="0"/>
    <xf numFmtId="2" fontId="10" fillId="0" borderId="1" pivotButton="0" quotePrefix="0" xfId="0"/>
    <xf numFmtId="0" fontId="11" fillId="2" borderId="1" pivotButton="0" quotePrefix="0" xfId="0"/>
    <xf numFmtId="0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  <xf numFmtId="0" fontId="9" fillId="4" borderId="1" pivotButton="0" quotePrefix="0" xfId="0"/>
    <xf numFmtId="2" fontId="10" fillId="4" borderId="1" pivotButton="0" quotePrefix="0" xfId="0"/>
    <xf numFmtId="0" fontId="2" fillId="4" borderId="1" pivotButton="0" quotePrefix="0" xfId="0"/>
    <xf numFmtId="2" fontId="2" fillId="4" borderId="1" pivotButton="0" quotePrefix="0" xfId="0"/>
    <xf numFmtId="164" fontId="2" fillId="4" borderId="1" pivotButton="0" quotePrefix="0" xfId="0"/>
    <xf numFmtId="0" fontId="12" fillId="0" borderId="0" pivotButton="0" quotePrefix="0" xfId="0"/>
    <xf numFmtId="0" fontId="8" fillId="3" borderId="1" applyAlignment="1" pivotButton="0" quotePrefix="0" xfId="0">
      <alignment horizontal="center"/>
    </xf>
    <xf numFmtId="0" fontId="11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13" fillId="0" borderId="1" pivotButton="0" quotePrefix="0" xfId="0"/>
    <xf numFmtId="165" fontId="2" fillId="0" borderId="1" pivotButton="0" quotePrefix="0" xfId="0"/>
    <xf numFmtId="0" fontId="13" fillId="0" borderId="1" pivotButton="0" quotePrefix="0" xfId="0"/>
    <xf numFmtId="0" fontId="11" fillId="4" borderId="1" pivotButton="0" quotePrefix="0" xfId="0"/>
    <xf numFmtId="164" fontId="13" fillId="4" borderId="1" pivotButton="0" quotePrefix="0" xfId="0"/>
    <xf numFmtId="165" fontId="2" fillId="4" borderId="1" pivotButton="0" quotePrefix="0" xfId="0"/>
    <xf numFmtId="0" fontId="1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E2" authorId="0" shapeId="0">
      <text>
        <t>Sufixo do mercado Bovespa no RTD do Profit, conforme a lista enviada pelo Ângelo (ex.: VALEL804_B_0).</t>
      </text>
    </comment>
    <comment ref="Q4" authorId="0" shapeId="0">
      <text>
        <t>Cole aqui o código RTD deste campo, copiado do Profit.</t>
      </text>
    </comment>
    <comment ref="R4" authorId="0" shapeId="0">
      <text>
        <t>Cole aqui o código RTD deste campo, copiado do Profit.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6" customWidth="1" min="3" max="3"/>
    <col width="9" customWidth="1" min="4" max="4"/>
    <col width="9" customWidth="1" min="5" max="5"/>
    <col width="10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Séries das estruturas · vencimento 18/12/2026</t>
        </is>
      </c>
    </row>
    <row r="2">
      <c r="A2" s="2" t="inlineStr">
        <is>
          <t>Sufixo RTD das opções e ações à vista:</t>
        </is>
      </c>
      <c r="E2" s="3" t="inlineStr">
        <is>
          <t>_B_0</t>
        </is>
      </c>
    </row>
    <row r="4">
      <c r="A4" s="4" t="inlineStr">
        <is>
          <t>Código do campo RTD →</t>
        </is>
      </c>
      <c r="H4" s="5" t="inlineStr">
        <is>
          <t>DAT</t>
        </is>
      </c>
      <c r="I4" s="5" t="inlineStr">
        <is>
          <t>HOR</t>
        </is>
      </c>
      <c r="J4" s="5" t="inlineStr">
        <is>
          <t>ULT</t>
        </is>
      </c>
      <c r="K4" s="5" t="inlineStr">
        <is>
          <t>ABE</t>
        </is>
      </c>
      <c r="L4" s="5" t="inlineStr">
        <is>
          <t>MAX</t>
        </is>
      </c>
      <c r="M4" s="5" t="inlineStr">
        <is>
          <t>MIN</t>
        </is>
      </c>
      <c r="N4" s="5" t="inlineStr">
        <is>
          <t>PEX</t>
        </is>
      </c>
      <c r="O4" s="5" t="inlineStr">
        <is>
          <t>NEG</t>
        </is>
      </c>
      <c r="P4" s="5" t="inlineStr">
        <is>
          <t>VEN</t>
        </is>
      </c>
      <c r="Q4" s="6" t="inlineStr"/>
      <c r="R4" s="6" t="inlineStr"/>
    </row>
    <row r="5" ht="30" customHeight="1">
      <c r="A5" s="7" t="inlineStr">
        <is>
          <t>Análise</t>
        </is>
      </c>
      <c r="B5" s="7" t="inlineStr">
        <is>
          <t>Perna</t>
        </is>
      </c>
      <c r="C5" s="7" t="inlineStr">
        <is>
          <t>Tipo</t>
        </is>
      </c>
      <c r="D5" s="7" t="inlineStr">
        <is>
          <t>Strike (análise)</t>
        </is>
      </c>
      <c r="E5" s="7" t="inlineStr">
        <is>
          <t>Prêmio teórico</t>
        </is>
      </c>
      <c r="F5" s="7" t="inlineStr">
        <is>
          <t>Começa com</t>
        </is>
      </c>
      <c r="G5" s="7" t="inlineStr">
        <is>
          <t>Código da série</t>
        </is>
      </c>
      <c r="H5" s="7" t="inlineStr">
        <is>
          <t>Data</t>
        </is>
      </c>
      <c r="I5" s="7" t="inlineStr">
        <is>
          <t>Hora</t>
        </is>
      </c>
      <c r="J5" s="7" t="inlineStr">
        <is>
          <t>Último</t>
        </is>
      </c>
      <c r="K5" s="7" t="inlineStr">
        <is>
          <t>Abertura</t>
        </is>
      </c>
      <c r="L5" s="7" t="inlineStr">
        <is>
          <t>Máximo</t>
        </is>
      </c>
      <c r="M5" s="7" t="inlineStr">
        <is>
          <t>Mínimo</t>
        </is>
      </c>
      <c r="N5" s="7" t="inlineStr">
        <is>
          <t>Strike (PEX)</t>
        </is>
      </c>
      <c r="O5" s="7" t="inlineStr">
        <is>
          <t>Negócios</t>
        </is>
      </c>
      <c r="P5" s="7" t="inlineStr">
        <is>
          <t>Vencimento</t>
        </is>
      </c>
      <c r="Q5" s="7" t="inlineStr">
        <is>
          <t>Oferta compra</t>
        </is>
      </c>
      <c r="R5" s="7" t="inlineStr">
        <is>
          <t>Oferta venda</t>
        </is>
      </c>
      <c r="S5" s="7" t="inlineStr">
        <is>
          <t>Strike confere?</t>
        </is>
      </c>
      <c r="T5" s="7" t="inlineStr">
        <is>
          <t>Prêmio usado</t>
        </is>
      </c>
      <c r="U5" s="7" t="inlineStr">
        <is>
          <t>Fonte</t>
        </is>
      </c>
      <c r="V5" s="7" t="inlineStr">
        <is>
          <t>Sinal</t>
        </is>
      </c>
      <c r="W5" s="7" t="inlineStr">
        <is>
          <t>Strike usado</t>
        </is>
      </c>
      <c r="X5" s="7" t="inlineStr">
        <is>
          <t>Real − teórico</t>
        </is>
      </c>
    </row>
    <row r="6">
      <c r="A6" s="8" t="inlineStr">
        <is>
          <t>VALE3</t>
        </is>
      </c>
      <c r="B6" s="8" t="inlineStr">
        <is>
          <t>Compra put</t>
        </is>
      </c>
      <c r="C6" s="8" t="inlineStr">
        <is>
          <t>put</t>
        </is>
      </c>
      <c r="D6" s="9" t="n">
        <v>56</v>
      </c>
      <c r="E6" s="9" t="n">
        <v>0.46</v>
      </c>
      <c r="F6" s="8" t="inlineStr">
        <is>
          <t>VALEX…</t>
        </is>
      </c>
      <c r="G6" s="10" t="n"/>
      <c r="H6" s="11">
        <f>IF(OR($G6="",H$4=""),"",IFERROR(RTD("RTDTrading.RTDServer",,$G6&amp;$E$2,H$4),""))</f>
        <v/>
      </c>
      <c r="I6" s="11">
        <f>IF(OR($G6="",I$4=""),"",IFERROR(RTD("RTDTrading.RTDServer",,$G6&amp;$E$2,I$4),""))</f>
        <v/>
      </c>
      <c r="J6" s="12">
        <f>IF(OR($G6="",J$4=""),"",IFERROR(RTD("RTDTrading.RTDServer",,$G6&amp;$E$2,J$4),""))</f>
        <v/>
      </c>
      <c r="K6" s="12">
        <f>IF(OR($G6="",K$4=""),"",IFERROR(RTD("RTDTrading.RTDServer",,$G6&amp;$E$2,K$4),""))</f>
        <v/>
      </c>
      <c r="L6" s="12">
        <f>IF(OR($G6="",L$4=""),"",IFERROR(RTD("RTDTrading.RTDServer",,$G6&amp;$E$2,L$4),""))</f>
        <v/>
      </c>
      <c r="M6" s="12">
        <f>IF(OR($G6="",M$4=""),"",IFERROR(RTD("RTDTrading.RTDServer",,$G6&amp;$E$2,M$4),""))</f>
        <v/>
      </c>
      <c r="N6" s="12">
        <f>IF(OR($G6="",N$4=""),"",IFERROR(RTD("RTDTrading.RTDServer",,$G6&amp;$E$2,N$4),""))</f>
        <v/>
      </c>
      <c r="O6" s="11">
        <f>IF(OR($G6="",O$4=""),"",IFERROR(RTD("RTDTrading.RTDServer",,$G6&amp;$E$2,O$4),""))</f>
        <v/>
      </c>
      <c r="P6" s="11">
        <f>IF(OR($G6="",P$4=""),"",IFERROR(RTD("RTDTrading.RTDServer",,$G6&amp;$E$2,P$4),""))</f>
        <v/>
      </c>
      <c r="Q6" s="12">
        <f>IF(OR($G6="",Q$4=""),"",IFERROR(RTD("RTDTrading.RTDServer",,$G6&amp;$E$2,Q$4),""))</f>
        <v/>
      </c>
      <c r="R6" s="12">
        <f>IF(OR($G6="",R$4=""),"",IFERROR(RTD("RTDTrading.RTDServer",,$G6&amp;$E$2,R$4),""))</f>
        <v/>
      </c>
      <c r="S6" s="11">
        <f>IF(ISNUMBER(N6),IF(ABS(N6-D6)&lt;0.005,"ok","CONFIRA"),"")</f>
        <v/>
      </c>
      <c r="T6" s="13">
        <f>IF(AND(ISNUMBER(Q6),ISNUMBER(R6),Q6&gt;0,R6&gt;0),(Q6+R6)/2,IF(ISNUMBER(J6),J6,E6))</f>
        <v/>
      </c>
      <c r="U6" s="11">
        <f>IF(AND(ISNUMBER(Q6),ISNUMBER(R6),Q6&gt;0,R6&gt;0),"meio do book",IF(ISNUMBER(J6),"último negócio","teórico"))</f>
        <v/>
      </c>
      <c r="V6" s="11">
        <f>IF(LEFT(B6,5)="Venda",1,-1)</f>
        <v/>
      </c>
      <c r="W6" s="13">
        <f>IF(ISNUMBER(N6),N6,D6)</f>
        <v/>
      </c>
      <c r="X6" s="13">
        <f>T6-E6</f>
        <v/>
      </c>
    </row>
    <row r="7">
      <c r="A7" s="14" t="inlineStr">
        <is>
          <t>VALE3</t>
        </is>
      </c>
      <c r="B7" s="14" t="inlineStr">
        <is>
          <t>Venda put</t>
        </is>
      </c>
      <c r="C7" s="14" t="inlineStr">
        <is>
          <t>put</t>
        </is>
      </c>
      <c r="D7" s="15" t="n">
        <v>60</v>
      </c>
      <c r="E7" s="15" t="n">
        <v>1.23</v>
      </c>
      <c r="F7" s="14" t="inlineStr">
        <is>
          <t>VALEX…</t>
        </is>
      </c>
      <c r="G7" s="10" t="n"/>
      <c r="H7" s="16">
        <f>IF(OR($G7="",H$4=""),"",IFERROR(RTD("RTDTrading.RTDServer",,$G7&amp;$E$2,H$4),""))</f>
        <v/>
      </c>
      <c r="I7" s="16">
        <f>IF(OR($G7="",I$4=""),"",IFERROR(RTD("RTDTrading.RTDServer",,$G7&amp;$E$2,I$4),""))</f>
        <v/>
      </c>
      <c r="J7" s="17">
        <f>IF(OR($G7="",J$4=""),"",IFERROR(RTD("RTDTrading.RTDServer",,$G7&amp;$E$2,J$4),""))</f>
        <v/>
      </c>
      <c r="K7" s="17">
        <f>IF(OR($G7="",K$4=""),"",IFERROR(RTD("RTDTrading.RTDServer",,$G7&amp;$E$2,K$4),""))</f>
        <v/>
      </c>
      <c r="L7" s="17">
        <f>IF(OR($G7="",L$4=""),"",IFERROR(RTD("RTDTrading.RTDServer",,$G7&amp;$E$2,L$4),""))</f>
        <v/>
      </c>
      <c r="M7" s="17">
        <f>IF(OR($G7="",M$4=""),"",IFERROR(RTD("RTDTrading.RTDServer",,$G7&amp;$E$2,M$4),""))</f>
        <v/>
      </c>
      <c r="N7" s="17">
        <f>IF(OR($G7="",N$4=""),"",IFERROR(RTD("RTDTrading.RTDServer",,$G7&amp;$E$2,N$4),""))</f>
        <v/>
      </c>
      <c r="O7" s="16">
        <f>IF(OR($G7="",O$4=""),"",IFERROR(RTD("RTDTrading.RTDServer",,$G7&amp;$E$2,O$4),""))</f>
        <v/>
      </c>
      <c r="P7" s="16">
        <f>IF(OR($G7="",P$4=""),"",IFERROR(RTD("RTDTrading.RTDServer",,$G7&amp;$E$2,P$4),""))</f>
        <v/>
      </c>
      <c r="Q7" s="17">
        <f>IF(OR($G7="",Q$4=""),"",IFERROR(RTD("RTDTrading.RTDServer",,$G7&amp;$E$2,Q$4),""))</f>
        <v/>
      </c>
      <c r="R7" s="17">
        <f>IF(OR($G7="",R$4=""),"",IFERROR(RTD("RTDTrading.RTDServer",,$G7&amp;$E$2,R$4),""))</f>
        <v/>
      </c>
      <c r="S7" s="16">
        <f>IF(ISNUMBER(N7),IF(ABS(N7-D7)&lt;0.005,"ok","CONFIRA"),"")</f>
        <v/>
      </c>
      <c r="T7" s="18">
        <f>IF(AND(ISNUMBER(Q7),ISNUMBER(R7),Q7&gt;0,R7&gt;0),(Q7+R7)/2,IF(ISNUMBER(J7),J7,E7))</f>
        <v/>
      </c>
      <c r="U7" s="16">
        <f>IF(AND(ISNUMBER(Q7),ISNUMBER(R7),Q7&gt;0,R7&gt;0),"meio do book",IF(ISNUMBER(J7),"último negócio","teórico"))</f>
        <v/>
      </c>
      <c r="V7" s="16">
        <f>IF(LEFT(B7,5)="Venda",1,-1)</f>
        <v/>
      </c>
      <c r="W7" s="18">
        <f>IF(ISNUMBER(N7),N7,D7)</f>
        <v/>
      </c>
      <c r="X7" s="18">
        <f>T7-E7</f>
        <v/>
      </c>
    </row>
    <row r="8">
      <c r="A8" s="8" t="inlineStr">
        <is>
          <t>VALE3</t>
        </is>
      </c>
      <c r="B8" s="8" t="inlineStr">
        <is>
          <t>Venda call</t>
        </is>
      </c>
      <c r="C8" s="8" t="inlineStr">
        <is>
          <t>call</t>
        </is>
      </c>
      <c r="D8" s="9" t="n">
        <v>70</v>
      </c>
      <c r="E8" s="9" t="n">
        <v>1.79</v>
      </c>
      <c r="F8" s="8" t="inlineStr">
        <is>
          <t>VALEL…</t>
        </is>
      </c>
      <c r="G8" s="10" t="n"/>
      <c r="H8" s="11">
        <f>IF(OR($G8="",H$4=""),"",IFERROR(RTD("RTDTrading.RTDServer",,$G8&amp;$E$2,H$4),""))</f>
        <v/>
      </c>
      <c r="I8" s="11">
        <f>IF(OR($G8="",I$4=""),"",IFERROR(RTD("RTDTrading.RTDServer",,$G8&amp;$E$2,I$4),""))</f>
        <v/>
      </c>
      <c r="J8" s="12">
        <f>IF(OR($G8="",J$4=""),"",IFERROR(RTD("RTDTrading.RTDServer",,$G8&amp;$E$2,J$4),""))</f>
        <v/>
      </c>
      <c r="K8" s="12">
        <f>IF(OR($G8="",K$4=""),"",IFERROR(RTD("RTDTrading.RTDServer",,$G8&amp;$E$2,K$4),""))</f>
        <v/>
      </c>
      <c r="L8" s="12">
        <f>IF(OR($G8="",L$4=""),"",IFERROR(RTD("RTDTrading.RTDServer",,$G8&amp;$E$2,L$4),""))</f>
        <v/>
      </c>
      <c r="M8" s="12">
        <f>IF(OR($G8="",M$4=""),"",IFERROR(RTD("RTDTrading.RTDServer",,$G8&amp;$E$2,M$4),""))</f>
        <v/>
      </c>
      <c r="N8" s="12">
        <f>IF(OR($G8="",N$4=""),"",IFERROR(RTD("RTDTrading.RTDServer",,$G8&amp;$E$2,N$4),""))</f>
        <v/>
      </c>
      <c r="O8" s="11">
        <f>IF(OR($G8="",O$4=""),"",IFERROR(RTD("RTDTrading.RTDServer",,$G8&amp;$E$2,O$4),""))</f>
        <v/>
      </c>
      <c r="P8" s="11">
        <f>IF(OR($G8="",P$4=""),"",IFERROR(RTD("RTDTrading.RTDServer",,$G8&amp;$E$2,P$4),""))</f>
        <v/>
      </c>
      <c r="Q8" s="12">
        <f>IF(OR($G8="",Q$4=""),"",IFERROR(RTD("RTDTrading.RTDServer",,$G8&amp;$E$2,Q$4),""))</f>
        <v/>
      </c>
      <c r="R8" s="12">
        <f>IF(OR($G8="",R$4=""),"",IFERROR(RTD("RTDTrading.RTDServer",,$G8&amp;$E$2,R$4),""))</f>
        <v/>
      </c>
      <c r="S8" s="11">
        <f>IF(ISNUMBER(N8),IF(ABS(N8-D8)&lt;0.005,"ok","CONFIRA"),"")</f>
        <v/>
      </c>
      <c r="T8" s="13">
        <f>IF(AND(ISNUMBER(Q8),ISNUMBER(R8),Q8&gt;0,R8&gt;0),(Q8+R8)/2,IF(ISNUMBER(J8),J8,E8))</f>
        <v/>
      </c>
      <c r="U8" s="11">
        <f>IF(AND(ISNUMBER(Q8),ISNUMBER(R8),Q8&gt;0,R8&gt;0),"meio do book",IF(ISNUMBER(J8),"último negócio","teórico"))</f>
        <v/>
      </c>
      <c r="V8" s="11">
        <f>IF(LEFT(B8,5)="Venda",1,-1)</f>
        <v/>
      </c>
      <c r="W8" s="13">
        <f>IF(ISNUMBER(N8),N8,D8)</f>
        <v/>
      </c>
      <c r="X8" s="13">
        <f>T8-E8</f>
        <v/>
      </c>
    </row>
    <row r="9">
      <c r="A9" s="14" t="inlineStr">
        <is>
          <t>VALE3</t>
        </is>
      </c>
      <c r="B9" s="14" t="inlineStr">
        <is>
          <t>Compra call</t>
        </is>
      </c>
      <c r="C9" s="14" t="inlineStr">
        <is>
          <t>call</t>
        </is>
      </c>
      <c r="D9" s="15" t="n">
        <v>74</v>
      </c>
      <c r="E9" s="15" t="n">
        <v>0.91</v>
      </c>
      <c r="F9" s="14" t="inlineStr">
        <is>
          <t>VALEL…</t>
        </is>
      </c>
      <c r="G9" s="10" t="n"/>
      <c r="H9" s="16">
        <f>IF(OR($G9="",H$4=""),"",IFERROR(RTD("RTDTrading.RTDServer",,$G9&amp;$E$2,H$4),""))</f>
        <v/>
      </c>
      <c r="I9" s="16">
        <f>IF(OR($G9="",I$4=""),"",IFERROR(RTD("RTDTrading.RTDServer",,$G9&amp;$E$2,I$4),""))</f>
        <v/>
      </c>
      <c r="J9" s="17">
        <f>IF(OR($G9="",J$4=""),"",IFERROR(RTD("RTDTrading.RTDServer",,$G9&amp;$E$2,J$4),""))</f>
        <v/>
      </c>
      <c r="K9" s="17">
        <f>IF(OR($G9="",K$4=""),"",IFERROR(RTD("RTDTrading.RTDServer",,$G9&amp;$E$2,K$4),""))</f>
        <v/>
      </c>
      <c r="L9" s="17">
        <f>IF(OR($G9="",L$4=""),"",IFERROR(RTD("RTDTrading.RTDServer",,$G9&amp;$E$2,L$4),""))</f>
        <v/>
      </c>
      <c r="M9" s="17">
        <f>IF(OR($G9="",M$4=""),"",IFERROR(RTD("RTDTrading.RTDServer",,$G9&amp;$E$2,M$4),""))</f>
        <v/>
      </c>
      <c r="N9" s="17">
        <f>IF(OR($G9="",N$4=""),"",IFERROR(RTD("RTDTrading.RTDServer",,$G9&amp;$E$2,N$4),""))</f>
        <v/>
      </c>
      <c r="O9" s="16">
        <f>IF(OR($G9="",O$4=""),"",IFERROR(RTD("RTDTrading.RTDServer",,$G9&amp;$E$2,O$4),""))</f>
        <v/>
      </c>
      <c r="P9" s="16">
        <f>IF(OR($G9="",P$4=""),"",IFERROR(RTD("RTDTrading.RTDServer",,$G9&amp;$E$2,P$4),""))</f>
        <v/>
      </c>
      <c r="Q9" s="17">
        <f>IF(OR($G9="",Q$4=""),"",IFERROR(RTD("RTDTrading.RTDServer",,$G9&amp;$E$2,Q$4),""))</f>
        <v/>
      </c>
      <c r="R9" s="17">
        <f>IF(OR($G9="",R$4=""),"",IFERROR(RTD("RTDTrading.RTDServer",,$G9&amp;$E$2,R$4),""))</f>
        <v/>
      </c>
      <c r="S9" s="16">
        <f>IF(ISNUMBER(N9),IF(ABS(N9-D9)&lt;0.005,"ok","CONFIRA"),"")</f>
        <v/>
      </c>
      <c r="T9" s="18">
        <f>IF(AND(ISNUMBER(Q9),ISNUMBER(R9),Q9&gt;0,R9&gt;0),(Q9+R9)/2,IF(ISNUMBER(J9),J9,E9))</f>
        <v/>
      </c>
      <c r="U9" s="16">
        <f>IF(AND(ISNUMBER(Q9),ISNUMBER(R9),Q9&gt;0,R9&gt;0),"meio do book",IF(ISNUMBER(J9),"último negócio","teórico"))</f>
        <v/>
      </c>
      <c r="V9" s="16">
        <f>IF(LEFT(B9,5)="Venda",1,-1)</f>
        <v/>
      </c>
      <c r="W9" s="18">
        <f>IF(ISNUMBER(N9),N9,D9)</f>
        <v/>
      </c>
      <c r="X9" s="18">
        <f>T9-E9</f>
        <v/>
      </c>
    </row>
    <row r="10">
      <c r="A10" s="8" t="inlineStr">
        <is>
          <t>PETR4</t>
        </is>
      </c>
      <c r="B10" s="8" t="inlineStr">
        <is>
          <t>Venda put</t>
        </is>
      </c>
      <c r="C10" s="8" t="inlineStr">
        <is>
          <t>put</t>
        </is>
      </c>
      <c r="D10" s="9" t="n">
        <v>50</v>
      </c>
      <c r="E10" s="9" t="n">
        <v>1.96</v>
      </c>
      <c r="F10" s="8" t="inlineStr">
        <is>
          <t>PETRX…</t>
        </is>
      </c>
      <c r="G10" s="10" t="n"/>
      <c r="H10" s="11">
        <f>IF(OR($G10="",H$4=""),"",IFERROR(RTD("RTDTrading.RTDServer",,$G10&amp;$E$2,H$4),""))</f>
        <v/>
      </c>
      <c r="I10" s="11">
        <f>IF(OR($G10="",I$4=""),"",IFERROR(RTD("RTDTrading.RTDServer",,$G10&amp;$E$2,I$4),""))</f>
        <v/>
      </c>
      <c r="J10" s="12">
        <f>IF(OR($G10="",J$4=""),"",IFERROR(RTD("RTDTrading.RTDServer",,$G10&amp;$E$2,J$4),""))</f>
        <v/>
      </c>
      <c r="K10" s="12">
        <f>IF(OR($G10="",K$4=""),"",IFERROR(RTD("RTDTrading.RTDServer",,$G10&amp;$E$2,K$4),""))</f>
        <v/>
      </c>
      <c r="L10" s="12">
        <f>IF(OR($G10="",L$4=""),"",IFERROR(RTD("RTDTrading.RTDServer",,$G10&amp;$E$2,L$4),""))</f>
        <v/>
      </c>
      <c r="M10" s="12">
        <f>IF(OR($G10="",M$4=""),"",IFERROR(RTD("RTDTrading.RTDServer",,$G10&amp;$E$2,M$4),""))</f>
        <v/>
      </c>
      <c r="N10" s="12">
        <f>IF(OR($G10="",N$4=""),"",IFERROR(RTD("RTDTrading.RTDServer",,$G10&amp;$E$2,N$4),""))</f>
        <v/>
      </c>
      <c r="O10" s="11">
        <f>IF(OR($G10="",O$4=""),"",IFERROR(RTD("RTDTrading.RTDServer",,$G10&amp;$E$2,O$4),""))</f>
        <v/>
      </c>
      <c r="P10" s="11">
        <f>IF(OR($G10="",P$4=""),"",IFERROR(RTD("RTDTrading.RTDServer",,$G10&amp;$E$2,P$4),""))</f>
        <v/>
      </c>
      <c r="Q10" s="12">
        <f>IF(OR($G10="",Q$4=""),"",IFERROR(RTD("RTDTrading.RTDServer",,$G10&amp;$E$2,Q$4),""))</f>
        <v/>
      </c>
      <c r="R10" s="12">
        <f>IF(OR($G10="",R$4=""),"",IFERROR(RTD("RTDTrading.RTDServer",,$G10&amp;$E$2,R$4),""))</f>
        <v/>
      </c>
      <c r="S10" s="11">
        <f>IF(ISNUMBER(N10),IF(ABS(N10-D10)&lt;0.005,"ok","CONFIRA"),"")</f>
        <v/>
      </c>
      <c r="T10" s="13">
        <f>IF(AND(ISNUMBER(Q10),ISNUMBER(R10),Q10&gt;0,R10&gt;0),(Q10+R10)/2,IF(ISNUMBER(J10),J10,E10))</f>
        <v/>
      </c>
      <c r="U10" s="11">
        <f>IF(AND(ISNUMBER(Q10),ISNUMBER(R10),Q10&gt;0,R10&gt;0),"meio do book",IF(ISNUMBER(J10),"último negócio","teórico"))</f>
        <v/>
      </c>
      <c r="V10" s="11">
        <f>IF(LEFT(B10,5)="Venda",1,-1)</f>
        <v/>
      </c>
      <c r="W10" s="13">
        <f>IF(ISNUMBER(N10),N10,D10)</f>
        <v/>
      </c>
      <c r="X10" s="13">
        <f>T10-E10</f>
        <v/>
      </c>
    </row>
    <row r="11">
      <c r="A11" s="14" t="inlineStr">
        <is>
          <t>PETR4</t>
        </is>
      </c>
      <c r="B11" s="14" t="inlineStr">
        <is>
          <t>Compra put</t>
        </is>
      </c>
      <c r="C11" s="14" t="inlineStr">
        <is>
          <t>put</t>
        </is>
      </c>
      <c r="D11" s="15" t="n">
        <v>46</v>
      </c>
      <c r="E11" s="15" t="n">
        <v>0.89</v>
      </c>
      <c r="F11" s="14" t="inlineStr">
        <is>
          <t>PETRX…</t>
        </is>
      </c>
      <c r="G11" s="10" t="n"/>
      <c r="H11" s="16">
        <f>IF(OR($G11="",H$4=""),"",IFERROR(RTD("RTDTrading.RTDServer",,$G11&amp;$E$2,H$4),""))</f>
        <v/>
      </c>
      <c r="I11" s="16">
        <f>IF(OR($G11="",I$4=""),"",IFERROR(RTD("RTDTrading.RTDServer",,$G11&amp;$E$2,I$4),""))</f>
        <v/>
      </c>
      <c r="J11" s="17">
        <f>IF(OR($G11="",J$4=""),"",IFERROR(RTD("RTDTrading.RTDServer",,$G11&amp;$E$2,J$4),""))</f>
        <v/>
      </c>
      <c r="K11" s="17">
        <f>IF(OR($G11="",K$4=""),"",IFERROR(RTD("RTDTrading.RTDServer",,$G11&amp;$E$2,K$4),""))</f>
        <v/>
      </c>
      <c r="L11" s="17">
        <f>IF(OR($G11="",L$4=""),"",IFERROR(RTD("RTDTrading.RTDServer",,$G11&amp;$E$2,L$4),""))</f>
        <v/>
      </c>
      <c r="M11" s="17">
        <f>IF(OR($G11="",M$4=""),"",IFERROR(RTD("RTDTrading.RTDServer",,$G11&amp;$E$2,M$4),""))</f>
        <v/>
      </c>
      <c r="N11" s="17">
        <f>IF(OR($G11="",N$4=""),"",IFERROR(RTD("RTDTrading.RTDServer",,$G11&amp;$E$2,N$4),""))</f>
        <v/>
      </c>
      <c r="O11" s="16">
        <f>IF(OR($G11="",O$4=""),"",IFERROR(RTD("RTDTrading.RTDServer",,$G11&amp;$E$2,O$4),""))</f>
        <v/>
      </c>
      <c r="P11" s="16">
        <f>IF(OR($G11="",P$4=""),"",IFERROR(RTD("RTDTrading.RTDServer",,$G11&amp;$E$2,P$4),""))</f>
        <v/>
      </c>
      <c r="Q11" s="17">
        <f>IF(OR($G11="",Q$4=""),"",IFERROR(RTD("RTDTrading.RTDServer",,$G11&amp;$E$2,Q$4),""))</f>
        <v/>
      </c>
      <c r="R11" s="17">
        <f>IF(OR($G11="",R$4=""),"",IFERROR(RTD("RTDTrading.RTDServer",,$G11&amp;$E$2,R$4),""))</f>
        <v/>
      </c>
      <c r="S11" s="16">
        <f>IF(ISNUMBER(N11),IF(ABS(N11-D11)&lt;0.005,"ok","CONFIRA"),"")</f>
        <v/>
      </c>
      <c r="T11" s="18">
        <f>IF(AND(ISNUMBER(Q11),ISNUMBER(R11),Q11&gt;0,R11&gt;0),(Q11+R11)/2,IF(ISNUMBER(J11),J11,E11))</f>
        <v/>
      </c>
      <c r="U11" s="16">
        <f>IF(AND(ISNUMBER(Q11),ISNUMBER(R11),Q11&gt;0,R11&gt;0),"meio do book",IF(ISNUMBER(J11),"último negócio","teórico"))</f>
        <v/>
      </c>
      <c r="V11" s="16">
        <f>IF(LEFT(B11,5)="Venda",1,-1)</f>
        <v/>
      </c>
      <c r="W11" s="18">
        <f>IF(ISNUMBER(N11),N11,D11)</f>
        <v/>
      </c>
      <c r="X11" s="18">
        <f>T11-E11</f>
        <v/>
      </c>
    </row>
    <row r="12">
      <c r="A12" s="8" t="inlineStr">
        <is>
          <t>BBAS3</t>
        </is>
      </c>
      <c r="B12" s="8" t="inlineStr">
        <is>
          <t>Venda call</t>
        </is>
      </c>
      <c r="C12" s="8" t="inlineStr">
        <is>
          <t>call</t>
        </is>
      </c>
      <c r="D12" s="9" t="n">
        <v>20</v>
      </c>
      <c r="E12" s="9" t="n">
        <v>1.59</v>
      </c>
      <c r="F12" s="8" t="inlineStr">
        <is>
          <t>BBASL…</t>
        </is>
      </c>
      <c r="G12" s="10" t="n"/>
      <c r="H12" s="11">
        <f>IF(OR($G12="",H$4=""),"",IFERROR(RTD("RTDTrading.RTDServer",,$G12&amp;$E$2,H$4),""))</f>
        <v/>
      </c>
      <c r="I12" s="11">
        <f>IF(OR($G12="",I$4=""),"",IFERROR(RTD("RTDTrading.RTDServer",,$G12&amp;$E$2,I$4),""))</f>
        <v/>
      </c>
      <c r="J12" s="12">
        <f>IF(OR($G12="",J$4=""),"",IFERROR(RTD("RTDTrading.RTDServer",,$G12&amp;$E$2,J$4),""))</f>
        <v/>
      </c>
      <c r="K12" s="12">
        <f>IF(OR($G12="",K$4=""),"",IFERROR(RTD("RTDTrading.RTDServer",,$G12&amp;$E$2,K$4),""))</f>
        <v/>
      </c>
      <c r="L12" s="12">
        <f>IF(OR($G12="",L$4=""),"",IFERROR(RTD("RTDTrading.RTDServer",,$G12&amp;$E$2,L$4),""))</f>
        <v/>
      </c>
      <c r="M12" s="12">
        <f>IF(OR($G12="",M$4=""),"",IFERROR(RTD("RTDTrading.RTDServer",,$G12&amp;$E$2,M$4),""))</f>
        <v/>
      </c>
      <c r="N12" s="12">
        <f>IF(OR($G12="",N$4=""),"",IFERROR(RTD("RTDTrading.RTDServer",,$G12&amp;$E$2,N$4),""))</f>
        <v/>
      </c>
      <c r="O12" s="11">
        <f>IF(OR($G12="",O$4=""),"",IFERROR(RTD("RTDTrading.RTDServer",,$G12&amp;$E$2,O$4),""))</f>
        <v/>
      </c>
      <c r="P12" s="11">
        <f>IF(OR($G12="",P$4=""),"",IFERROR(RTD("RTDTrading.RTDServer",,$G12&amp;$E$2,P$4),""))</f>
        <v/>
      </c>
      <c r="Q12" s="12">
        <f>IF(OR($G12="",Q$4=""),"",IFERROR(RTD("RTDTrading.RTDServer",,$G12&amp;$E$2,Q$4),""))</f>
        <v/>
      </c>
      <c r="R12" s="12">
        <f>IF(OR($G12="",R$4=""),"",IFERROR(RTD("RTDTrading.RTDServer",,$G12&amp;$E$2,R$4),""))</f>
        <v/>
      </c>
      <c r="S12" s="11">
        <f>IF(ISNUMBER(N12),IF(ABS(N12-D12)&lt;0.005,"ok","CONFIRA"),"")</f>
        <v/>
      </c>
      <c r="T12" s="13">
        <f>IF(AND(ISNUMBER(Q12),ISNUMBER(R12),Q12&gt;0,R12&gt;0),(Q12+R12)/2,IF(ISNUMBER(J12),J12,E12))</f>
        <v/>
      </c>
      <c r="U12" s="11">
        <f>IF(AND(ISNUMBER(Q12),ISNUMBER(R12),Q12&gt;0,R12&gt;0),"meio do book",IF(ISNUMBER(J12),"último negócio","teórico"))</f>
        <v/>
      </c>
      <c r="V12" s="11">
        <f>IF(LEFT(B12,5)="Venda",1,-1)</f>
        <v/>
      </c>
      <c r="W12" s="13">
        <f>IF(ISNUMBER(N12),N12,D12)</f>
        <v/>
      </c>
      <c r="X12" s="13">
        <f>T12-E12</f>
        <v/>
      </c>
    </row>
    <row r="13">
      <c r="A13" s="14" t="inlineStr">
        <is>
          <t>BBAS3</t>
        </is>
      </c>
      <c r="B13" s="14" t="inlineStr">
        <is>
          <t>Compra call</t>
        </is>
      </c>
      <c r="C13" s="14" t="inlineStr">
        <is>
          <t>call</t>
        </is>
      </c>
      <c r="D13" s="15" t="n">
        <v>22</v>
      </c>
      <c r="E13" s="15" t="n">
        <v>1.08</v>
      </c>
      <c r="F13" s="14" t="inlineStr">
        <is>
          <t>BBASL…</t>
        </is>
      </c>
      <c r="G13" s="10" t="n"/>
      <c r="H13" s="16">
        <f>IF(OR($G13="",H$4=""),"",IFERROR(RTD("RTDTrading.RTDServer",,$G13&amp;$E$2,H$4),""))</f>
        <v/>
      </c>
      <c r="I13" s="16">
        <f>IF(OR($G13="",I$4=""),"",IFERROR(RTD("RTDTrading.RTDServer",,$G13&amp;$E$2,I$4),""))</f>
        <v/>
      </c>
      <c r="J13" s="17">
        <f>IF(OR($G13="",J$4=""),"",IFERROR(RTD("RTDTrading.RTDServer",,$G13&amp;$E$2,J$4),""))</f>
        <v/>
      </c>
      <c r="K13" s="17">
        <f>IF(OR($G13="",K$4=""),"",IFERROR(RTD("RTDTrading.RTDServer",,$G13&amp;$E$2,K$4),""))</f>
        <v/>
      </c>
      <c r="L13" s="17">
        <f>IF(OR($G13="",L$4=""),"",IFERROR(RTD("RTDTrading.RTDServer",,$G13&amp;$E$2,L$4),""))</f>
        <v/>
      </c>
      <c r="M13" s="17">
        <f>IF(OR($G13="",M$4=""),"",IFERROR(RTD("RTDTrading.RTDServer",,$G13&amp;$E$2,M$4),""))</f>
        <v/>
      </c>
      <c r="N13" s="17">
        <f>IF(OR($G13="",N$4=""),"",IFERROR(RTD("RTDTrading.RTDServer",,$G13&amp;$E$2,N$4),""))</f>
        <v/>
      </c>
      <c r="O13" s="16">
        <f>IF(OR($G13="",O$4=""),"",IFERROR(RTD("RTDTrading.RTDServer",,$G13&amp;$E$2,O$4),""))</f>
        <v/>
      </c>
      <c r="P13" s="16">
        <f>IF(OR($G13="",P$4=""),"",IFERROR(RTD("RTDTrading.RTDServer",,$G13&amp;$E$2,P$4),""))</f>
        <v/>
      </c>
      <c r="Q13" s="17">
        <f>IF(OR($G13="",Q$4=""),"",IFERROR(RTD("RTDTrading.RTDServer",,$G13&amp;$E$2,Q$4),""))</f>
        <v/>
      </c>
      <c r="R13" s="17">
        <f>IF(OR($G13="",R$4=""),"",IFERROR(RTD("RTDTrading.RTDServer",,$G13&amp;$E$2,R$4),""))</f>
        <v/>
      </c>
      <c r="S13" s="16">
        <f>IF(ISNUMBER(N13),IF(ABS(N13-D13)&lt;0.005,"ok","CONFIRA"),"")</f>
        <v/>
      </c>
      <c r="T13" s="18">
        <f>IF(AND(ISNUMBER(Q13),ISNUMBER(R13),Q13&gt;0,R13&gt;0),(Q13+R13)/2,IF(ISNUMBER(J13),J13,E13))</f>
        <v/>
      </c>
      <c r="U13" s="16">
        <f>IF(AND(ISNUMBER(Q13),ISNUMBER(R13),Q13&gt;0,R13&gt;0),"meio do book",IF(ISNUMBER(J13),"último negócio","teórico"))</f>
        <v/>
      </c>
      <c r="V13" s="16">
        <f>IF(LEFT(B13,5)="Venda",1,-1)</f>
        <v/>
      </c>
      <c r="W13" s="18">
        <f>IF(ISNUMBER(N13),N13,D13)</f>
        <v/>
      </c>
      <c r="X13" s="18">
        <f>T13-E13</f>
        <v/>
      </c>
    </row>
    <row r="14">
      <c r="A14" s="8" t="inlineStr">
        <is>
          <t>BBDC4</t>
        </is>
      </c>
      <c r="B14" s="8" t="inlineStr">
        <is>
          <t>Venda put</t>
        </is>
      </c>
      <c r="C14" s="8" t="inlineStr">
        <is>
          <t>put</t>
        </is>
      </c>
      <c r="D14" s="9" t="n">
        <v>14</v>
      </c>
      <c r="E14" s="9" t="n">
        <v>0.9</v>
      </c>
      <c r="F14" s="8" t="inlineStr">
        <is>
          <t>BBDCX…</t>
        </is>
      </c>
      <c r="G14" s="10" t="n"/>
      <c r="H14" s="11">
        <f>IF(OR($G14="",H$4=""),"",IFERROR(RTD("RTDTrading.RTDServer",,$G14&amp;$E$2,H$4),""))</f>
        <v/>
      </c>
      <c r="I14" s="11">
        <f>IF(OR($G14="",I$4=""),"",IFERROR(RTD("RTDTrading.RTDServer",,$G14&amp;$E$2,I$4),""))</f>
        <v/>
      </c>
      <c r="J14" s="12">
        <f>IF(OR($G14="",J$4=""),"",IFERROR(RTD("RTDTrading.RTDServer",,$G14&amp;$E$2,J$4),""))</f>
        <v/>
      </c>
      <c r="K14" s="12">
        <f>IF(OR($G14="",K$4=""),"",IFERROR(RTD("RTDTrading.RTDServer",,$G14&amp;$E$2,K$4),""))</f>
        <v/>
      </c>
      <c r="L14" s="12">
        <f>IF(OR($G14="",L$4=""),"",IFERROR(RTD("RTDTrading.RTDServer",,$G14&amp;$E$2,L$4),""))</f>
        <v/>
      </c>
      <c r="M14" s="12">
        <f>IF(OR($G14="",M$4=""),"",IFERROR(RTD("RTDTrading.RTDServer",,$G14&amp;$E$2,M$4),""))</f>
        <v/>
      </c>
      <c r="N14" s="12">
        <f>IF(OR($G14="",N$4=""),"",IFERROR(RTD("RTDTrading.RTDServer",,$G14&amp;$E$2,N$4),""))</f>
        <v/>
      </c>
      <c r="O14" s="11">
        <f>IF(OR($G14="",O$4=""),"",IFERROR(RTD("RTDTrading.RTDServer",,$G14&amp;$E$2,O$4),""))</f>
        <v/>
      </c>
      <c r="P14" s="11">
        <f>IF(OR($G14="",P$4=""),"",IFERROR(RTD("RTDTrading.RTDServer",,$G14&amp;$E$2,P$4),""))</f>
        <v/>
      </c>
      <c r="Q14" s="12">
        <f>IF(OR($G14="",Q$4=""),"",IFERROR(RTD("RTDTrading.RTDServer",,$G14&amp;$E$2,Q$4),""))</f>
        <v/>
      </c>
      <c r="R14" s="12">
        <f>IF(OR($G14="",R$4=""),"",IFERROR(RTD("RTDTrading.RTDServer",,$G14&amp;$E$2,R$4),""))</f>
        <v/>
      </c>
      <c r="S14" s="11">
        <f>IF(ISNUMBER(N14),IF(ABS(N14-D14)&lt;0.005,"ok","CONFIRA"),"")</f>
        <v/>
      </c>
      <c r="T14" s="13">
        <f>IF(AND(ISNUMBER(Q14),ISNUMBER(R14),Q14&gt;0,R14&gt;0),(Q14+R14)/2,IF(ISNUMBER(J14),J14,E14))</f>
        <v/>
      </c>
      <c r="U14" s="11">
        <f>IF(AND(ISNUMBER(Q14),ISNUMBER(R14),Q14&gt;0,R14&gt;0),"meio do book",IF(ISNUMBER(J14),"último negócio","teórico"))</f>
        <v/>
      </c>
      <c r="V14" s="11">
        <f>IF(LEFT(B14,5)="Venda",1,-1)</f>
        <v/>
      </c>
      <c r="W14" s="13">
        <f>IF(ISNUMBER(N14),N14,D14)</f>
        <v/>
      </c>
      <c r="X14" s="13">
        <f>T14-E14</f>
        <v/>
      </c>
    </row>
    <row r="15">
      <c r="A15" s="14" t="inlineStr">
        <is>
          <t>PRIO3</t>
        </is>
      </c>
      <c r="B15" s="14" t="inlineStr">
        <is>
          <t>Compra call</t>
        </is>
      </c>
      <c r="C15" s="14" t="inlineStr">
        <is>
          <t>call</t>
        </is>
      </c>
      <c r="D15" s="15" t="n">
        <v>72</v>
      </c>
      <c r="E15" s="15" t="n">
        <v>4.02</v>
      </c>
      <c r="F15" s="14" t="inlineStr">
        <is>
          <t>PRIOL…</t>
        </is>
      </c>
      <c r="G15" s="10" t="n"/>
      <c r="H15" s="16">
        <f>IF(OR($G15="",H$4=""),"",IFERROR(RTD("RTDTrading.RTDServer",,$G15&amp;$E$2,H$4),""))</f>
        <v/>
      </c>
      <c r="I15" s="16">
        <f>IF(OR($G15="",I$4=""),"",IFERROR(RTD("RTDTrading.RTDServer",,$G15&amp;$E$2,I$4),""))</f>
        <v/>
      </c>
      <c r="J15" s="17">
        <f>IF(OR($G15="",J$4=""),"",IFERROR(RTD("RTDTrading.RTDServer",,$G15&amp;$E$2,J$4),""))</f>
        <v/>
      </c>
      <c r="K15" s="17">
        <f>IF(OR($G15="",K$4=""),"",IFERROR(RTD("RTDTrading.RTDServer",,$G15&amp;$E$2,K$4),""))</f>
        <v/>
      </c>
      <c r="L15" s="17">
        <f>IF(OR($G15="",L$4=""),"",IFERROR(RTD("RTDTrading.RTDServer",,$G15&amp;$E$2,L$4),""))</f>
        <v/>
      </c>
      <c r="M15" s="17">
        <f>IF(OR($G15="",M$4=""),"",IFERROR(RTD("RTDTrading.RTDServer",,$G15&amp;$E$2,M$4),""))</f>
        <v/>
      </c>
      <c r="N15" s="17">
        <f>IF(OR($G15="",N$4=""),"",IFERROR(RTD("RTDTrading.RTDServer",,$G15&amp;$E$2,N$4),""))</f>
        <v/>
      </c>
      <c r="O15" s="16">
        <f>IF(OR($G15="",O$4=""),"",IFERROR(RTD("RTDTrading.RTDServer",,$G15&amp;$E$2,O$4),""))</f>
        <v/>
      </c>
      <c r="P15" s="16">
        <f>IF(OR($G15="",P$4=""),"",IFERROR(RTD("RTDTrading.RTDServer",,$G15&amp;$E$2,P$4),""))</f>
        <v/>
      </c>
      <c r="Q15" s="17">
        <f>IF(OR($G15="",Q$4=""),"",IFERROR(RTD("RTDTrading.RTDServer",,$G15&amp;$E$2,Q$4),""))</f>
        <v/>
      </c>
      <c r="R15" s="17">
        <f>IF(OR($G15="",R$4=""),"",IFERROR(RTD("RTDTrading.RTDServer",,$G15&amp;$E$2,R$4),""))</f>
        <v/>
      </c>
      <c r="S15" s="16">
        <f>IF(ISNUMBER(N15),IF(ABS(N15-D15)&lt;0.005,"ok","CONFIRA"),"")</f>
        <v/>
      </c>
      <c r="T15" s="18">
        <f>IF(AND(ISNUMBER(Q15),ISNUMBER(R15),Q15&gt;0,R15&gt;0),(Q15+R15)/2,IF(ISNUMBER(J15),J15,E15))</f>
        <v/>
      </c>
      <c r="U15" s="16">
        <f>IF(AND(ISNUMBER(Q15),ISNUMBER(R15),Q15&gt;0,R15&gt;0),"meio do book",IF(ISNUMBER(J15),"último negócio","teórico"))</f>
        <v/>
      </c>
      <c r="V15" s="16">
        <f>IF(LEFT(B15,5)="Venda",1,-1)</f>
        <v/>
      </c>
      <c r="W15" s="18">
        <f>IF(ISNUMBER(N15),N15,D15)</f>
        <v/>
      </c>
      <c r="X15" s="18">
        <f>T15-E15</f>
        <v/>
      </c>
    </row>
    <row r="16">
      <c r="A16" s="8" t="inlineStr">
        <is>
          <t>PRIO3</t>
        </is>
      </c>
      <c r="B16" s="8" t="inlineStr">
        <is>
          <t>Venda call</t>
        </is>
      </c>
      <c r="C16" s="8" t="inlineStr">
        <is>
          <t>call</t>
        </is>
      </c>
      <c r="D16" s="9" t="n">
        <v>78</v>
      </c>
      <c r="E16" s="9" t="n">
        <v>1.8</v>
      </c>
      <c r="F16" s="8" t="inlineStr">
        <is>
          <t>PRIOL…</t>
        </is>
      </c>
      <c r="G16" s="10" t="n"/>
      <c r="H16" s="11">
        <f>IF(OR($G16="",H$4=""),"",IFERROR(RTD("RTDTrading.RTDServer",,$G16&amp;$E$2,H$4),""))</f>
        <v/>
      </c>
      <c r="I16" s="11">
        <f>IF(OR($G16="",I$4=""),"",IFERROR(RTD("RTDTrading.RTDServer",,$G16&amp;$E$2,I$4),""))</f>
        <v/>
      </c>
      <c r="J16" s="12">
        <f>IF(OR($G16="",J$4=""),"",IFERROR(RTD("RTDTrading.RTDServer",,$G16&amp;$E$2,J$4),""))</f>
        <v/>
      </c>
      <c r="K16" s="12">
        <f>IF(OR($G16="",K$4=""),"",IFERROR(RTD("RTDTrading.RTDServer",,$G16&amp;$E$2,K$4),""))</f>
        <v/>
      </c>
      <c r="L16" s="12">
        <f>IF(OR($G16="",L$4=""),"",IFERROR(RTD("RTDTrading.RTDServer",,$G16&amp;$E$2,L$4),""))</f>
        <v/>
      </c>
      <c r="M16" s="12">
        <f>IF(OR($G16="",M$4=""),"",IFERROR(RTD("RTDTrading.RTDServer",,$G16&amp;$E$2,M$4),""))</f>
        <v/>
      </c>
      <c r="N16" s="12">
        <f>IF(OR($G16="",N$4=""),"",IFERROR(RTD("RTDTrading.RTDServer",,$G16&amp;$E$2,N$4),""))</f>
        <v/>
      </c>
      <c r="O16" s="11">
        <f>IF(OR($G16="",O$4=""),"",IFERROR(RTD("RTDTrading.RTDServer",,$G16&amp;$E$2,O$4),""))</f>
        <v/>
      </c>
      <c r="P16" s="11">
        <f>IF(OR($G16="",P$4=""),"",IFERROR(RTD("RTDTrading.RTDServer",,$G16&amp;$E$2,P$4),""))</f>
        <v/>
      </c>
      <c r="Q16" s="12">
        <f>IF(OR($G16="",Q$4=""),"",IFERROR(RTD("RTDTrading.RTDServer",,$G16&amp;$E$2,Q$4),""))</f>
        <v/>
      </c>
      <c r="R16" s="12">
        <f>IF(OR($G16="",R$4=""),"",IFERROR(RTD("RTDTrading.RTDServer",,$G16&amp;$E$2,R$4),""))</f>
        <v/>
      </c>
      <c r="S16" s="11">
        <f>IF(ISNUMBER(N16),IF(ABS(N16-D16)&lt;0.005,"ok","CONFIRA"),"")</f>
        <v/>
      </c>
      <c r="T16" s="13">
        <f>IF(AND(ISNUMBER(Q16),ISNUMBER(R16),Q16&gt;0,R16&gt;0),(Q16+R16)/2,IF(ISNUMBER(J16),J16,E16))</f>
        <v/>
      </c>
      <c r="U16" s="11">
        <f>IF(AND(ISNUMBER(Q16),ISNUMBER(R16),Q16&gt;0,R16&gt;0),"meio do book",IF(ISNUMBER(J16),"último negócio","teórico"))</f>
        <v/>
      </c>
      <c r="V16" s="11">
        <f>IF(LEFT(B16,5)="Venda",1,-1)</f>
        <v/>
      </c>
      <c r="W16" s="13">
        <f>IF(ISNUMBER(N16),N16,D16)</f>
        <v/>
      </c>
      <c r="X16" s="13">
        <f>T16-E16</f>
        <v/>
      </c>
    </row>
    <row r="18">
      <c r="A18" s="4" t="inlineStr">
        <is>
          <t>Prêmio usado: meio do book (média das ofertas de compra e de venda) quando houver ofertas; senão o último negócio; senão o prêmio teórico da análise.</t>
        </is>
      </c>
    </row>
    <row r="19">
      <c r="A19" s="4" t="inlineStr">
        <is>
          <t>Strike e prêmio teórico: análises de 26/10/2026 do opcionando.com.br (Black-Scholes, Selic 14% a.a., vencimento 18/12/2026).</t>
        </is>
      </c>
    </row>
    <row r="21">
      <c r="A21" s="19" t="inlineStr">
        <is>
          <t>Ativos-objeto</t>
        </is>
      </c>
    </row>
    <row r="22">
      <c r="A22" s="20" t="inlineStr">
        <is>
          <t>Ativo</t>
        </is>
      </c>
      <c r="B22" s="20" t="inlineStr">
        <is>
          <t>Último</t>
        </is>
      </c>
      <c r="C22" s="20" t="inlineStr">
        <is>
          <t>Máximo</t>
        </is>
      </c>
      <c r="D22" s="20" t="inlineStr">
        <is>
          <t>Mínimo</t>
        </is>
      </c>
      <c r="E22" s="20" t="inlineStr">
        <is>
          <t>Negócios</t>
        </is>
      </c>
      <c r="F22" s="20" t="inlineStr">
        <is>
          <t>Data</t>
        </is>
      </c>
      <c r="G22" s="20" t="inlineStr">
        <is>
          <t>Hora</t>
        </is>
      </c>
    </row>
    <row r="23">
      <c r="A23" s="21" t="inlineStr">
        <is>
          <t>VALE3</t>
        </is>
      </c>
      <c r="B23" s="12">
        <f>IFERROR(RTD("RTDTrading.RTDServer",,$A23&amp;$E$2,"ULT"),"")</f>
        <v/>
      </c>
      <c r="C23" s="12">
        <f>IFERROR(RTD("RTDTrading.RTDServer",,$A23&amp;$E$2,"MAX"),"")</f>
        <v/>
      </c>
      <c r="D23" s="12">
        <f>IFERROR(RTD("RTDTrading.RTDServer",,$A23&amp;$E$2,"MIN"),"")</f>
        <v/>
      </c>
      <c r="E23" s="11">
        <f>IFERROR(RTD("RTDTrading.RTDServer",,$A23&amp;$E$2,"NEG"),"")</f>
        <v/>
      </c>
      <c r="F23" s="11">
        <f>IFERROR(RTD("RTDTrading.RTDServer",,$A23&amp;$E$2,"DAT"),"")</f>
        <v/>
      </c>
      <c r="G23" s="11">
        <f>IFERROR(RTD("RTDTrading.RTDServer",,$A23&amp;$E$2,"HOR"),"")</f>
        <v/>
      </c>
    </row>
    <row r="24">
      <c r="A24" s="21" t="inlineStr">
        <is>
          <t>PETR4</t>
        </is>
      </c>
      <c r="B24" s="12">
        <f>IFERROR(RTD("RTDTrading.RTDServer",,$A24&amp;$E$2,"ULT"),"")</f>
        <v/>
      </c>
      <c r="C24" s="12">
        <f>IFERROR(RTD("RTDTrading.RTDServer",,$A24&amp;$E$2,"MAX"),"")</f>
        <v/>
      </c>
      <c r="D24" s="12">
        <f>IFERROR(RTD("RTDTrading.RTDServer",,$A24&amp;$E$2,"MIN"),"")</f>
        <v/>
      </c>
      <c r="E24" s="11">
        <f>IFERROR(RTD("RTDTrading.RTDServer",,$A24&amp;$E$2,"NEG"),"")</f>
        <v/>
      </c>
      <c r="F24" s="11">
        <f>IFERROR(RTD("RTDTrading.RTDServer",,$A24&amp;$E$2,"DAT"),"")</f>
        <v/>
      </c>
      <c r="G24" s="11">
        <f>IFERROR(RTD("RTDTrading.RTDServer",,$A24&amp;$E$2,"HOR"),"")</f>
        <v/>
      </c>
    </row>
    <row r="25">
      <c r="A25" s="21" t="inlineStr">
        <is>
          <t>BBAS3</t>
        </is>
      </c>
      <c r="B25" s="12">
        <f>IFERROR(RTD("RTDTrading.RTDServer",,$A25&amp;$E$2,"ULT"),"")</f>
        <v/>
      </c>
      <c r="C25" s="12">
        <f>IFERROR(RTD("RTDTrading.RTDServer",,$A25&amp;$E$2,"MAX"),"")</f>
        <v/>
      </c>
      <c r="D25" s="12">
        <f>IFERROR(RTD("RTDTrading.RTDServer",,$A25&amp;$E$2,"MIN"),"")</f>
        <v/>
      </c>
      <c r="E25" s="11">
        <f>IFERROR(RTD("RTDTrading.RTDServer",,$A25&amp;$E$2,"NEG"),"")</f>
        <v/>
      </c>
      <c r="F25" s="11">
        <f>IFERROR(RTD("RTDTrading.RTDServer",,$A25&amp;$E$2,"DAT"),"")</f>
        <v/>
      </c>
      <c r="G25" s="11">
        <f>IFERROR(RTD("RTDTrading.RTDServer",,$A25&amp;$E$2,"HOR"),"")</f>
        <v/>
      </c>
    </row>
    <row r="26">
      <c r="A26" s="21" t="inlineStr">
        <is>
          <t>BBDC4</t>
        </is>
      </c>
      <c r="B26" s="12">
        <f>IFERROR(RTD("RTDTrading.RTDServer",,$A26&amp;$E$2,"ULT"),"")</f>
        <v/>
      </c>
      <c r="C26" s="12">
        <f>IFERROR(RTD("RTDTrading.RTDServer",,$A26&amp;$E$2,"MAX"),"")</f>
        <v/>
      </c>
      <c r="D26" s="12">
        <f>IFERROR(RTD("RTDTrading.RTDServer",,$A26&amp;$E$2,"MIN"),"")</f>
        <v/>
      </c>
      <c r="E26" s="11">
        <f>IFERROR(RTD("RTDTrading.RTDServer",,$A26&amp;$E$2,"NEG"),"")</f>
        <v/>
      </c>
      <c r="F26" s="11">
        <f>IFERROR(RTD("RTDTrading.RTDServer",,$A26&amp;$E$2,"DAT"),"")</f>
        <v/>
      </c>
      <c r="G26" s="11">
        <f>IFERROR(RTD("RTDTrading.RTDServer",,$A26&amp;$E$2,"HOR"),"")</f>
        <v/>
      </c>
    </row>
    <row r="27">
      <c r="A27" s="21" t="inlineStr">
        <is>
          <t>PRIO3</t>
        </is>
      </c>
      <c r="B27" s="12">
        <f>IFERROR(RTD("RTDTrading.RTDServer",,$A27&amp;$E$2,"ULT"),"")</f>
        <v/>
      </c>
      <c r="C27" s="12">
        <f>IFERROR(RTD("RTDTrading.RTDServer",,$A27&amp;$E$2,"MAX"),"")</f>
        <v/>
      </c>
      <c r="D27" s="12">
        <f>IFERROR(RTD("RTDTrading.RTDServer",,$A27&amp;$E$2,"MIN"),"")</f>
        <v/>
      </c>
      <c r="E27" s="11">
        <f>IFERROR(RTD("RTDTrading.RTDServer",,$A27&amp;$E$2,"NEG"),"")</f>
        <v/>
      </c>
      <c r="F27" s="11">
        <f>IFERROR(RTD("RTDTrading.RTDServer",,$A27&amp;$E$2,"DAT"),"")</f>
        <v/>
      </c>
      <c r="G27" s="11">
        <f>IFERROR(RTD("RTDTrading.RTDServer",,$A27&amp;$E$2,"HOR"),"")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2" t="inlineStr">
        <is>
          <t>Opcionando · Cotações das estruturas via RTD do Profit</t>
        </is>
      </c>
    </row>
    <row r="2">
      <c r="A2" s="23" t="inlineStr"/>
    </row>
    <row r="3">
      <c r="A3" s="24" t="inlineStr">
        <is>
          <t>Como usar</t>
        </is>
      </c>
    </row>
    <row r="4">
      <c r="A4" s="23" t="inlineStr">
        <is>
          <t>1. Abra o Profit e mantenha-o conectado. Abra esta planilha no Excel (no Windows, onde o Profit está instalado).</t>
        </is>
      </c>
    </row>
    <row r="5">
      <c r="A5" s="23" t="inlineStr">
        <is>
          <t>2. Na aba "Opções", preencha só as células AMARELAS da coluna "Código da série" com o código de cada opção (ex.: VALEL804).</t>
        </is>
      </c>
    </row>
    <row r="6">
      <c r="A6" s="23" t="inlineStr">
        <is>
          <t xml:space="preserve">   A coluna "Começa com" mostra a raiz e a letra de dezembro: calls de dezembro usam L e puts de dezembro usam X.</t>
        </is>
      </c>
    </row>
    <row r="7">
      <c r="A7" s="23" t="inlineStr">
        <is>
          <t>3. Confira a coluna "Strike confere?": se aparecer "CONFIRA", o código digitado não tem o strike da análise.</t>
        </is>
      </c>
    </row>
    <row r="8">
      <c r="A8" s="23" t="inlineStr">
        <is>
          <t>4. Os campos de oferta de compra e de venda estão em branco na linha 4 da aba "Opções" (células amarelas).</t>
        </is>
      </c>
    </row>
    <row r="9">
      <c r="A9" s="23" t="inlineStr">
        <is>
          <t xml:space="preserve">   Copie do Profit o código RTD desses dois campos e cole nelas. Os demais códigos (ULT, PEX, NEG...) vieram da sua lista.</t>
        </is>
      </c>
    </row>
    <row r="10">
      <c r="A10" s="23" t="inlineStr">
        <is>
          <t>5. A aba "Estruturas" recalcula crédito, débito, perda máxima, ganho máximo e equilíbrio com os prêmios reais.</t>
        </is>
      </c>
    </row>
    <row r="11">
      <c r="A11" s="23" t="inlineStr">
        <is>
          <t xml:space="preserve">   Enquanto não houver cotação, ela usa o prêmio teórico (Black-Scholes) da análise e indica isso na coluna "Fonte".</t>
        </is>
      </c>
    </row>
    <row r="12">
      <c r="A12" s="23" t="inlineStr">
        <is>
          <t>6. Salve o arquivo (os últimos valores ficam gravados) e me envie. Eu atualizo as análises do site.</t>
        </is>
      </c>
    </row>
    <row r="13">
      <c r="A13" s="23" t="inlineStr"/>
    </row>
    <row r="14">
      <c r="A14" s="24" t="inlineStr">
        <is>
          <t>Legenda de cores</t>
        </is>
      </c>
    </row>
    <row r="15">
      <c r="A15" s="23" t="inlineStr">
        <is>
          <t>Amarelo: célula para você preencher.</t>
        </is>
      </c>
    </row>
    <row r="16">
      <c r="A16" s="23" t="inlineStr">
        <is>
          <t>Azul: valor fixo vindo das análises de 26/10 (strike e prêmio teórico).</t>
        </is>
      </c>
    </row>
    <row r="17">
      <c r="A17" s="23" t="inlineStr">
        <is>
          <t>Preto: fórmula. Verde: fórmula que puxa dados de outra aba.</t>
        </is>
      </c>
    </row>
    <row r="18">
      <c r="A18" s="23" t="inlineStr"/>
    </row>
    <row r="19">
      <c r="A19" s="4" t="inlineStr">
        <is>
          <t>Observação: as fórmulas RTD só retornam valores no Excel do Windows com o Profit aberto. Em outro programa, as células aparecem vazias ou com erro.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3" customWidth="1" min="3" max="3"/>
    <col width="13" customWidth="1" min="4" max="4"/>
    <col width="11" customWidth="1" min="5" max="5"/>
    <col width="13" customWidth="1" min="6" max="6"/>
    <col width="13" customWidth="1" min="7" max="7"/>
    <col width="13" customWidth="1" min="8" max="8"/>
    <col width="11" customWidth="1" min="9" max="9"/>
    <col width="11" customWidth="1" min="10" max="10"/>
    <col width="11" customWidth="1" min="11" max="11"/>
    <col width="10" customWidth="1" min="12" max="12"/>
  </cols>
  <sheetData>
    <row r="1">
      <c r="A1" s="1" t="inlineStr">
        <is>
          <t>Estruturas recalculadas com os prêmios reais</t>
        </is>
      </c>
    </row>
    <row r="2">
      <c r="A2" s="4" t="inlineStr">
        <is>
          <t>Valores por lote de 100 opções. Positivo = crédito recebido; negativo = débito pago.</t>
        </is>
      </c>
    </row>
    <row r="4" ht="42" customHeight="1">
      <c r="A4" s="7" t="inlineStr">
        <is>
          <t>Análise</t>
        </is>
      </c>
      <c r="B4" s="7" t="inlineStr">
        <is>
          <t>Estrutura</t>
        </is>
      </c>
      <c r="C4" s="7" t="inlineStr">
        <is>
          <t>Montagem real (R$/ação)</t>
        </is>
      </c>
      <c r="D4" s="7" t="inlineStr">
        <is>
          <t>Montagem teórica (R$/ação)</t>
        </is>
      </c>
      <c r="E4" s="7" t="inlineStr">
        <is>
          <t>Diferença</t>
        </is>
      </c>
      <c r="F4" s="7" t="inlineStr">
        <is>
          <t>Montagem real (R$/lote)</t>
        </is>
      </c>
      <c r="G4" s="7" t="inlineStr">
        <is>
          <t>Ganho máximo (R$/lote)</t>
        </is>
      </c>
      <c r="H4" s="7" t="inlineStr">
        <is>
          <t>Perda máxima (R$/lote)</t>
        </is>
      </c>
      <c r="I4" s="7" t="inlineStr">
        <is>
          <t>Equilíbrio inferior</t>
        </is>
      </c>
      <c r="J4" s="7" t="inlineStr">
        <is>
          <t>Equilíbrio superior</t>
        </is>
      </c>
      <c r="K4" s="7" t="inlineStr">
        <is>
          <t>Fonte dos prêmios</t>
        </is>
      </c>
      <c r="L4" s="7" t="inlineStr">
        <is>
          <t>Preço do ativo</t>
        </is>
      </c>
    </row>
    <row r="5">
      <c r="A5" s="21" t="inlineStr">
        <is>
          <t>VALE3</t>
        </is>
      </c>
      <c r="B5" s="11" t="inlineStr">
        <is>
          <t>Iron condor 56/60/70/74</t>
        </is>
      </c>
      <c r="C5" s="25">
        <f>SUMPRODUCT(('Opções'!$A$6:$A$16=$A5)*'Opções'!$V$6:$V$16*'Opções'!$T$6:$T$16)</f>
        <v/>
      </c>
      <c r="D5" s="25">
        <f>SUMPRODUCT(('Opções'!$A$6:$A$16=$A5)*'Opções'!$V$6:$V$16*'Opções'!$E$6:$E$16)</f>
        <v/>
      </c>
      <c r="E5" s="13">
        <f>C5-D5</f>
        <v/>
      </c>
      <c r="F5" s="26">
        <f>C5*100</f>
        <v/>
      </c>
      <c r="G5" s="26">
        <f>C5*100</f>
        <v/>
      </c>
      <c r="H5" s="26">
        <f>-(MAX('Opções'!$W$7-'Opções'!$W$6,'Opções'!$W$9-'Opções'!$W$8)-C5)*100</f>
        <v/>
      </c>
      <c r="I5" s="13">
        <f>'Opções'!$W$7-C5</f>
        <v/>
      </c>
      <c r="J5" s="13">
        <f>'Opções'!$W$8+C5</f>
        <v/>
      </c>
      <c r="K5" s="27">
        <f>IF(COUNTIF('Opções'!$U$6:$U$9,"teórico")=4,"teórico",IF(COUNTIF('Opções'!$U$6:$U$9,"teórico")=0,"real","parcial"))</f>
        <v/>
      </c>
      <c r="L5" s="25">
        <f>IFERROR('Opções'!$B$23*1,"")</f>
        <v/>
      </c>
    </row>
    <row r="6">
      <c r="A6" s="28" t="inlineStr">
        <is>
          <t>PETR4</t>
        </is>
      </c>
      <c r="B6" s="16" t="inlineStr">
        <is>
          <t>Trava de alta com put 50/46</t>
        </is>
      </c>
      <c r="C6" s="29">
        <f>SUMPRODUCT(('Opções'!$A$6:$A$16=$A6)*'Opções'!$V$6:$V$16*'Opções'!$T$6:$T$16)</f>
        <v/>
      </c>
      <c r="D6" s="29">
        <f>SUMPRODUCT(('Opções'!$A$6:$A$16=$A6)*'Opções'!$V$6:$V$16*'Opções'!$E$6:$E$16)</f>
        <v/>
      </c>
      <c r="E6" s="18">
        <f>C6-D6</f>
        <v/>
      </c>
      <c r="F6" s="30">
        <f>C6*100</f>
        <v/>
      </c>
      <c r="G6" s="30">
        <f>C6*100</f>
        <v/>
      </c>
      <c r="H6" s="30">
        <f>-(('Opções'!$W$10-'Opções'!$W$11)-C6)*100</f>
        <v/>
      </c>
      <c r="I6" s="18">
        <f>'Opções'!$W$10-C6</f>
        <v/>
      </c>
      <c r="J6" s="18">
        <f>""</f>
        <v/>
      </c>
      <c r="K6" s="31">
        <f>IF(COUNTIF('Opções'!$U$10:$U$11,"teórico")=2,"teórico",IF(COUNTIF('Opções'!$U$10:$U$11,"teórico")=0,"real","parcial"))</f>
        <v/>
      </c>
      <c r="L6" s="29">
        <f>IFERROR('Opções'!$B$24*1,"")</f>
        <v/>
      </c>
    </row>
    <row r="7">
      <c r="A7" s="21" t="inlineStr">
        <is>
          <t>BBAS3</t>
        </is>
      </c>
      <c r="B7" s="11" t="inlineStr">
        <is>
          <t>Trava de baixa com call 20/22</t>
        </is>
      </c>
      <c r="C7" s="25">
        <f>SUMPRODUCT(('Opções'!$A$6:$A$16=$A7)*'Opções'!$V$6:$V$16*'Opções'!$T$6:$T$16)</f>
        <v/>
      </c>
      <c r="D7" s="25">
        <f>SUMPRODUCT(('Opções'!$A$6:$A$16=$A7)*'Opções'!$V$6:$V$16*'Opções'!$E$6:$E$16)</f>
        <v/>
      </c>
      <c r="E7" s="13">
        <f>C7-D7</f>
        <v/>
      </c>
      <c r="F7" s="26">
        <f>C7*100</f>
        <v/>
      </c>
      <c r="G7" s="26">
        <f>C7*100</f>
        <v/>
      </c>
      <c r="H7" s="26">
        <f>-(('Opções'!$W$13-'Opções'!$W$12)-C7)*100</f>
        <v/>
      </c>
      <c r="I7" s="13">
        <f>""</f>
        <v/>
      </c>
      <c r="J7" s="13">
        <f>'Opções'!$W$12+C7</f>
        <v/>
      </c>
      <c r="K7" s="27">
        <f>IF(COUNTIF('Opções'!$U$12:$U$13,"teórico")=2,"teórico",IF(COUNTIF('Opções'!$U$12:$U$13,"teórico")=0,"real","parcial"))</f>
        <v/>
      </c>
      <c r="L7" s="25">
        <f>IFERROR('Opções'!$B$25*1,"")</f>
        <v/>
      </c>
    </row>
    <row r="8">
      <c r="A8" s="28" t="inlineStr">
        <is>
          <t>BBDC4</t>
        </is>
      </c>
      <c r="B8" s="16" t="inlineStr">
        <is>
          <t>Venda de put coberta 14</t>
        </is>
      </c>
      <c r="C8" s="29">
        <f>SUMPRODUCT(('Opções'!$A$6:$A$16=$A8)*'Opções'!$V$6:$V$16*'Opções'!$T$6:$T$16)</f>
        <v/>
      </c>
      <c r="D8" s="29">
        <f>SUMPRODUCT(('Opções'!$A$6:$A$16=$A8)*'Opções'!$V$6:$V$16*'Opções'!$E$6:$E$16)</f>
        <v/>
      </c>
      <c r="E8" s="18">
        <f>C8-D8</f>
        <v/>
      </c>
      <c r="F8" s="30">
        <f>C8*100</f>
        <v/>
      </c>
      <c r="G8" s="30">
        <f>C8*100</f>
        <v/>
      </c>
      <c r="H8" s="30">
        <f>-('Opções'!$W$14-C8)*100</f>
        <v/>
      </c>
      <c r="I8" s="18">
        <f>'Opções'!$W$14-C8</f>
        <v/>
      </c>
      <c r="J8" s="18">
        <f>""</f>
        <v/>
      </c>
      <c r="K8" s="31">
        <f>IF(COUNTIF('Opções'!$U$14:$U$14,"teórico")=1,"teórico",IF(COUNTIF('Opções'!$U$14:$U$14,"teórico")=0,"real","parcial"))</f>
        <v/>
      </c>
      <c r="L8" s="29">
        <f>IFERROR('Opções'!$B$26*1,"")</f>
        <v/>
      </c>
    </row>
    <row r="9">
      <c r="A9" s="21" t="inlineStr">
        <is>
          <t>PRIO3</t>
        </is>
      </c>
      <c r="B9" s="11" t="inlineStr">
        <is>
          <t>Trava de alta com call 72/78</t>
        </is>
      </c>
      <c r="C9" s="25">
        <f>SUMPRODUCT(('Opções'!$A$6:$A$16=$A9)*'Opções'!$V$6:$V$16*'Opções'!$T$6:$T$16)</f>
        <v/>
      </c>
      <c r="D9" s="25">
        <f>SUMPRODUCT(('Opções'!$A$6:$A$16=$A9)*'Opções'!$V$6:$V$16*'Opções'!$E$6:$E$16)</f>
        <v/>
      </c>
      <c r="E9" s="13">
        <f>C9-D9</f>
        <v/>
      </c>
      <c r="F9" s="26">
        <f>C9*100</f>
        <v/>
      </c>
      <c r="G9" s="26">
        <f>(('Opções'!$W$16-'Opções'!$W$15)+C9)*100</f>
        <v/>
      </c>
      <c r="H9" s="26">
        <f>C9*100</f>
        <v/>
      </c>
      <c r="I9" s="13">
        <f>'Opções'!$W$15-C9</f>
        <v/>
      </c>
      <c r="J9" s="13">
        <f>""</f>
        <v/>
      </c>
      <c r="K9" s="27">
        <f>IF(COUNTIF('Opções'!$U$15:$U$16,"teórico")=2,"teórico",IF(COUNTIF('Opções'!$U$15:$U$16,"teórico")=0,"real","parcial"))</f>
        <v/>
      </c>
      <c r="L9" s="25">
        <f>IFERROR('Opções'!$B$27*1,"")</f>
        <v/>
      </c>
    </row>
    <row r="11">
      <c r="A11" s="4" t="inlineStr">
        <is>
          <t>Perda máxima da put coberta (BBDC4): caixa comprometido se a ação for a zero, isto é, (strike − prêmio) × 100.</t>
        </is>
      </c>
    </row>
    <row r="12">
      <c r="A12" s="4" t="inlineStr">
        <is>
          <t>Fonte "teórico": nenhuma perna com cotação ainda; "parcial": parte das pernas com cotação real; "real": todas com cotação.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2026-10-27T01:10:26Z</dcterms:created>
  <dcterms:modified xmlns:dcterms="http://purl.org/dc/terms/" xmlns:xsi="http://www.w3.org/2001/XMLSchema-instance" xsi:type="dcterms:W3CDTF">2026-10-27T01:10:26Z</dcterms:modified>
</cp:coreProperties>
</file>